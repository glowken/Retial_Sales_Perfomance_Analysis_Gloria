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Desktop\DATA ANALYTICS JOURNEY\"/>
    </mc:Choice>
  </mc:AlternateContent>
  <xr:revisionPtr revIDLastSave="0" documentId="13_ncr:1_{D9B29CA7-C117-491B-A4AE-65F9DEADB2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Sheet1!$A$1:$M$106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" i="1" l="1"/>
  <c r="G13" i="1"/>
  <c r="G19" i="1"/>
  <c r="G22" i="1"/>
  <c r="G32" i="1"/>
  <c r="G52" i="1"/>
  <c r="G78" i="1"/>
  <c r="G81" i="1"/>
  <c r="G98" i="1"/>
  <c r="G46" i="1"/>
  <c r="G53" i="1"/>
  <c r="G68" i="1"/>
  <c r="G86" i="1"/>
  <c r="G100" i="1"/>
  <c r="G7" i="1"/>
  <c r="G73" i="1"/>
  <c r="G76" i="1"/>
  <c r="G8" i="1"/>
  <c r="G12" i="1"/>
  <c r="G26" i="1"/>
  <c r="G36" i="1"/>
  <c r="G63" i="1"/>
  <c r="G69" i="1"/>
  <c r="G87" i="1"/>
  <c r="G89" i="1"/>
  <c r="G93" i="1"/>
  <c r="G102" i="1"/>
  <c r="G2" i="1"/>
  <c r="G34" i="1"/>
  <c r="G35" i="1"/>
  <c r="G66" i="1"/>
  <c r="G84" i="1"/>
  <c r="G94" i="1"/>
  <c r="M3" i="1"/>
  <c r="M4" i="1"/>
  <c r="M5" i="1"/>
  <c r="M6" i="1"/>
  <c r="M2" i="1"/>
  <c r="L5" i="1"/>
  <c r="L6" i="1"/>
  <c r="F33" i="1"/>
  <c r="L3" i="1" s="1"/>
  <c r="F59" i="1"/>
  <c r="F68" i="1"/>
  <c r="F90" i="1"/>
  <c r="F83" i="1"/>
  <c r="F92" i="1"/>
  <c r="F14" i="1"/>
  <c r="F47" i="1"/>
  <c r="F12" i="1"/>
  <c r="L4" i="1" s="1"/>
  <c r="F23" i="1"/>
  <c r="F54" i="1"/>
  <c r="F56" i="1"/>
  <c r="F58" i="1"/>
  <c r="F69" i="1"/>
  <c r="F70" i="1"/>
  <c r="F93" i="1"/>
  <c r="F24" i="1"/>
  <c r="L2" i="1" s="1"/>
  <c r="F40" i="1"/>
  <c r="F42" i="1"/>
  <c r="F84" i="1"/>
  <c r="F95" i="1"/>
</calcChain>
</file>

<file path=xl/sharedStrings.xml><?xml version="1.0" encoding="utf-8"?>
<sst xmlns="http://schemas.openxmlformats.org/spreadsheetml/2006/main" count="540" uniqueCount="31">
  <si>
    <t>Project ID</t>
  </si>
  <si>
    <t>Engineer Name</t>
  </si>
  <si>
    <t>Estimated Cost</t>
  </si>
  <si>
    <t>Status</t>
  </si>
  <si>
    <t>Chioma Ude</t>
  </si>
  <si>
    <t>James Okoro</t>
  </si>
  <si>
    <t>Completed</t>
  </si>
  <si>
    <t>Lagos</t>
  </si>
  <si>
    <t>Bridge</t>
  </si>
  <si>
    <t>Enugu</t>
  </si>
  <si>
    <t>Mall</t>
  </si>
  <si>
    <t>Port Harcourt</t>
  </si>
  <si>
    <t>Estate</t>
  </si>
  <si>
    <t>Owerri</t>
  </si>
  <si>
    <t>Factory</t>
  </si>
  <si>
    <t>Abuja</t>
  </si>
  <si>
    <t>Road</t>
  </si>
  <si>
    <t>Poject City</t>
  </si>
  <si>
    <t>Project Type</t>
  </si>
  <si>
    <t>Project Size(sqm)</t>
  </si>
  <si>
    <t>No of Workers</t>
  </si>
  <si>
    <t>In Progress</t>
  </si>
  <si>
    <t xml:space="preserve">Completed </t>
  </si>
  <si>
    <t>Steel</t>
  </si>
  <si>
    <t>Wood</t>
  </si>
  <si>
    <t>Gravel</t>
  </si>
  <si>
    <t>Cement</t>
  </si>
  <si>
    <t>Iron Rod</t>
  </si>
  <si>
    <t>Sand</t>
  </si>
  <si>
    <t>Material Used</t>
  </si>
  <si>
    <t>Quantity(kg)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</si>
</sst>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6"/>
  <sheetViews>
    <sheetView tabSelected="1" workbookViewId="0">
      <selection activeCell="D4" sqref="D4"/>
    </sheetView>
  </sheetViews>
  <sheetFormatPr defaultRowHeight="15" x14ac:dyDescent="0.25"/>
  <cols>
    <col min="1" max="1" width="14.140625" bestFit="1" customWidth="1"/>
    <col min="2" max="2" width="25.85546875" customWidth="1"/>
    <col min="3" max="3" width="16.5703125" bestFit="1" customWidth="1"/>
    <col min="4" max="4" width="21.140625" bestFit="1" customWidth="1"/>
    <col min="5" max="5" width="19.28515625" bestFit="1" customWidth="1"/>
    <col min="6" max="6" width="18.85546875" bestFit="1" customWidth="1"/>
    <col min="7" max="7" width="18.5703125" bestFit="1" customWidth="1"/>
    <col min="8" max="8" width="12.5703125" customWidth="1"/>
    <col min="9" max="9" width="19.140625" bestFit="1" customWidth="1"/>
    <col min="10" max="10" width="16.7109375" bestFit="1" customWidth="1"/>
  </cols>
  <sheetData>
    <row r="1" spans="1:13" x14ac:dyDescent="0.25">
      <c r="A1" s="1" t="s">
        <v>0</v>
      </c>
      <c r="B1" s="1" t="s">
        <v>17</v>
      </c>
      <c r="C1" s="1" t="s">
        <v>18</v>
      </c>
      <c r="D1" s="1" t="s">
        <v>19</v>
      </c>
      <c r="E1" s="1" t="s">
        <v>1</v>
      </c>
      <c r="F1" s="1" t="s">
        <v>2</v>
      </c>
      <c r="G1" s="1" t="s">
        <v>20</v>
      </c>
      <c r="H1" s="1" t="s">
        <v>3</v>
      </c>
      <c r="I1" s="1" t="s">
        <v>29</v>
      </c>
      <c r="J1" s="2" t="s">
        <v>30</v>
      </c>
    </row>
    <row r="2" spans="1:13" x14ac:dyDescent="0.25">
      <c r="A2">
        <v>211</v>
      </c>
      <c r="B2" t="s">
        <v>7</v>
      </c>
      <c r="C2" t="s">
        <v>8</v>
      </c>
      <c r="D2">
        <v>4579</v>
      </c>
      <c r="E2" t="s">
        <v>4</v>
      </c>
      <c r="F2">
        <v>17197855</v>
      </c>
      <c r="G2">
        <f>63</f>
        <v>63</v>
      </c>
      <c r="H2" t="s">
        <v>21</v>
      </c>
      <c r="I2" t="s">
        <v>23</v>
      </c>
      <c r="J2">
        <v>487</v>
      </c>
      <c r="K2" t="s">
        <v>8</v>
      </c>
      <c r="L2">
        <f>AVERAGEIFS($F$2:$F$106,$C$2:$C$106,K2)</f>
        <v>29009743.666666668</v>
      </c>
      <c r="M2">
        <f>AVERAGEIFS($G$2:$G$106,$C$2:$C$106,K2)</f>
        <v>63.142857142857146</v>
      </c>
    </row>
    <row r="3" spans="1:13" x14ac:dyDescent="0.25">
      <c r="A3">
        <v>208</v>
      </c>
      <c r="B3" t="s">
        <v>9</v>
      </c>
      <c r="C3" t="s">
        <v>10</v>
      </c>
      <c r="D3">
        <v>7127</v>
      </c>
      <c r="E3" t="s">
        <v>4</v>
      </c>
      <c r="F3">
        <v>15246906</v>
      </c>
      <c r="G3">
        <v>19</v>
      </c>
      <c r="H3" t="s">
        <v>22</v>
      </c>
      <c r="I3" t="s">
        <v>24</v>
      </c>
      <c r="J3">
        <v>240</v>
      </c>
      <c r="K3" t="s">
        <v>10</v>
      </c>
      <c r="L3">
        <f t="shared" ref="L3:L6" si="0">AVERAGEIFS($F$2:$F$106,$C$2:$C$106,K3)</f>
        <v>20431736.899999999</v>
      </c>
      <c r="M3">
        <f t="shared" ref="M3:M6" si="1">AVERAGEIFS($G$2:$G$106,$C$2:$C$106,K3)</f>
        <v>71.25</v>
      </c>
    </row>
    <row r="4" spans="1:13" x14ac:dyDescent="0.25">
      <c r="A4">
        <v>208</v>
      </c>
      <c r="B4" t="s">
        <v>11</v>
      </c>
      <c r="C4" t="s">
        <v>8</v>
      </c>
      <c r="D4">
        <v>7199</v>
      </c>
      <c r="E4" t="s">
        <v>5</v>
      </c>
      <c r="F4">
        <v>30000000</v>
      </c>
      <c r="G4">
        <v>172</v>
      </c>
      <c r="H4" t="s">
        <v>21</v>
      </c>
      <c r="I4" t="s">
        <v>25</v>
      </c>
      <c r="J4">
        <v>240</v>
      </c>
      <c r="K4" t="s">
        <v>12</v>
      </c>
      <c r="L4">
        <f t="shared" si="0"/>
        <v>24636587.958333332</v>
      </c>
      <c r="M4">
        <f t="shared" si="1"/>
        <v>66.791666666666671</v>
      </c>
    </row>
    <row r="5" spans="1:13" x14ac:dyDescent="0.25">
      <c r="A5">
        <v>206</v>
      </c>
      <c r="B5" t="s">
        <v>7</v>
      </c>
      <c r="C5" t="s">
        <v>12</v>
      </c>
      <c r="D5">
        <v>1870</v>
      </c>
      <c r="E5" t="s">
        <v>4</v>
      </c>
      <c r="F5">
        <v>22581140</v>
      </c>
      <c r="G5">
        <v>1</v>
      </c>
      <c r="H5" t="s">
        <v>21</v>
      </c>
      <c r="I5" t="s">
        <v>26</v>
      </c>
      <c r="J5">
        <v>679</v>
      </c>
      <c r="K5" t="s">
        <v>14</v>
      </c>
      <c r="L5">
        <f t="shared" si="0"/>
        <v>29210831.399999999</v>
      </c>
      <c r="M5">
        <f t="shared" si="1"/>
        <v>60.866666666666667</v>
      </c>
    </row>
    <row r="6" spans="1:13" x14ac:dyDescent="0.25">
      <c r="A6">
        <v>212</v>
      </c>
      <c r="B6" t="s">
        <v>13</v>
      </c>
      <c r="C6" t="s">
        <v>12</v>
      </c>
      <c r="D6">
        <v>6261</v>
      </c>
      <c r="E6" t="s">
        <v>4</v>
      </c>
      <c r="F6">
        <v>36525142</v>
      </c>
      <c r="G6">
        <v>50</v>
      </c>
      <c r="H6" t="s">
        <v>6</v>
      </c>
      <c r="I6" t="s">
        <v>24</v>
      </c>
      <c r="J6">
        <v>365</v>
      </c>
      <c r="K6" t="s">
        <v>16</v>
      </c>
      <c r="L6">
        <f t="shared" si="0"/>
        <v>28702899.68</v>
      </c>
      <c r="M6">
        <f t="shared" si="1"/>
        <v>86.68</v>
      </c>
    </row>
    <row r="7" spans="1:13" x14ac:dyDescent="0.25">
      <c r="A7">
        <v>203</v>
      </c>
      <c r="B7" t="s">
        <v>7</v>
      </c>
      <c r="C7" t="s">
        <v>14</v>
      </c>
      <c r="D7">
        <v>5173</v>
      </c>
      <c r="E7" t="s">
        <v>5</v>
      </c>
      <c r="F7">
        <v>30000000</v>
      </c>
      <c r="G7">
        <f>61</f>
        <v>61</v>
      </c>
      <c r="H7" t="s">
        <v>6</v>
      </c>
      <c r="I7" t="s">
        <v>23</v>
      </c>
      <c r="J7">
        <v>394</v>
      </c>
    </row>
    <row r="8" spans="1:13" x14ac:dyDescent="0.25">
      <c r="A8">
        <v>206</v>
      </c>
      <c r="B8" t="s">
        <v>15</v>
      </c>
      <c r="C8" t="s">
        <v>12</v>
      </c>
      <c r="D8">
        <v>4009</v>
      </c>
      <c r="E8" t="s">
        <v>5</v>
      </c>
      <c r="F8">
        <v>38315246</v>
      </c>
      <c r="G8">
        <f>67</f>
        <v>67</v>
      </c>
      <c r="H8" t="s">
        <v>21</v>
      </c>
      <c r="I8" t="s">
        <v>24</v>
      </c>
      <c r="J8">
        <v>877</v>
      </c>
    </row>
    <row r="9" spans="1:13" x14ac:dyDescent="0.25">
      <c r="A9">
        <v>205</v>
      </c>
      <c r="B9" t="s">
        <v>9</v>
      </c>
      <c r="C9" t="s">
        <v>12</v>
      </c>
      <c r="D9">
        <v>8582</v>
      </c>
      <c r="E9" t="s">
        <v>4</v>
      </c>
      <c r="F9">
        <v>30000000</v>
      </c>
      <c r="G9">
        <v>111</v>
      </c>
      <c r="H9" t="s">
        <v>6</v>
      </c>
      <c r="I9" t="s">
        <v>26</v>
      </c>
      <c r="J9">
        <v>170</v>
      </c>
    </row>
    <row r="10" spans="1:13" x14ac:dyDescent="0.25">
      <c r="A10">
        <v>200</v>
      </c>
      <c r="B10" t="s">
        <v>13</v>
      </c>
      <c r="C10" t="s">
        <v>16</v>
      </c>
      <c r="D10">
        <v>6092</v>
      </c>
      <c r="E10" t="s">
        <v>5</v>
      </c>
      <c r="F10">
        <v>30000000</v>
      </c>
      <c r="G10">
        <f>87</f>
        <v>87</v>
      </c>
      <c r="H10" t="s">
        <v>21</v>
      </c>
      <c r="I10" t="s">
        <v>25</v>
      </c>
      <c r="J10">
        <v>491</v>
      </c>
    </row>
    <row r="11" spans="1:13" x14ac:dyDescent="0.25">
      <c r="A11">
        <v>203</v>
      </c>
      <c r="B11" t="s">
        <v>9</v>
      </c>
      <c r="C11" t="s">
        <v>14</v>
      </c>
      <c r="D11">
        <v>4118</v>
      </c>
      <c r="E11" t="s">
        <v>4</v>
      </c>
      <c r="F11">
        <v>1560032</v>
      </c>
      <c r="G11">
        <v>2</v>
      </c>
      <c r="H11" t="s">
        <v>6</v>
      </c>
      <c r="I11" t="s">
        <v>24</v>
      </c>
      <c r="J11">
        <v>865</v>
      </c>
    </row>
    <row r="12" spans="1:13" x14ac:dyDescent="0.25">
      <c r="A12">
        <v>215</v>
      </c>
      <c r="B12" t="s">
        <v>11</v>
      </c>
      <c r="C12" t="s">
        <v>12</v>
      </c>
      <c r="D12">
        <v>6616</v>
      </c>
      <c r="E12" t="s">
        <v>4</v>
      </c>
      <c r="F12">
        <f>24636588</f>
        <v>24636588</v>
      </c>
      <c r="G12">
        <f>67</f>
        <v>67</v>
      </c>
      <c r="H12" t="s">
        <v>22</v>
      </c>
      <c r="I12" t="s">
        <v>24</v>
      </c>
      <c r="J12">
        <v>335</v>
      </c>
    </row>
    <row r="13" spans="1:13" x14ac:dyDescent="0.25">
      <c r="A13">
        <v>200</v>
      </c>
      <c r="B13" t="s">
        <v>13</v>
      </c>
      <c r="C13" t="s">
        <v>16</v>
      </c>
      <c r="D13">
        <v>2552</v>
      </c>
      <c r="E13" t="s">
        <v>4</v>
      </c>
      <c r="F13">
        <v>28968682</v>
      </c>
      <c r="G13">
        <f>87</f>
        <v>87</v>
      </c>
      <c r="H13" t="s">
        <v>21</v>
      </c>
      <c r="I13" t="s">
        <v>25</v>
      </c>
      <c r="J13">
        <v>117</v>
      </c>
    </row>
    <row r="14" spans="1:13" x14ac:dyDescent="0.25">
      <c r="A14">
        <v>202</v>
      </c>
      <c r="B14" t="s">
        <v>11</v>
      </c>
      <c r="C14" t="s">
        <v>14</v>
      </c>
      <c r="D14">
        <v>5062</v>
      </c>
      <c r="E14" t="s">
        <v>5</v>
      </c>
      <c r="F14">
        <f>29210831</f>
        <v>29210831</v>
      </c>
      <c r="G14">
        <v>100</v>
      </c>
      <c r="H14" t="s">
        <v>6</v>
      </c>
      <c r="I14" t="s">
        <v>27</v>
      </c>
      <c r="J14">
        <v>603</v>
      </c>
    </row>
    <row r="15" spans="1:13" x14ac:dyDescent="0.25">
      <c r="A15">
        <v>201</v>
      </c>
      <c r="B15" t="s">
        <v>15</v>
      </c>
      <c r="C15" t="s">
        <v>16</v>
      </c>
      <c r="D15">
        <v>4288</v>
      </c>
      <c r="E15" t="s">
        <v>4</v>
      </c>
      <c r="F15">
        <v>40187222</v>
      </c>
      <c r="G15">
        <v>100</v>
      </c>
      <c r="H15" t="s">
        <v>6</v>
      </c>
      <c r="I15" t="s">
        <v>27</v>
      </c>
      <c r="J15">
        <v>223</v>
      </c>
    </row>
    <row r="16" spans="1:13" x14ac:dyDescent="0.25">
      <c r="A16">
        <v>202</v>
      </c>
      <c r="B16" t="s">
        <v>11</v>
      </c>
      <c r="C16" t="s">
        <v>10</v>
      </c>
      <c r="D16">
        <v>9549</v>
      </c>
      <c r="E16" t="s">
        <v>4</v>
      </c>
      <c r="F16">
        <v>12817764</v>
      </c>
      <c r="G16">
        <v>86</v>
      </c>
      <c r="H16" t="s">
        <v>21</v>
      </c>
      <c r="I16" t="s">
        <v>23</v>
      </c>
      <c r="J16">
        <v>124</v>
      </c>
    </row>
    <row r="17" spans="1:10" x14ac:dyDescent="0.25">
      <c r="A17">
        <v>203</v>
      </c>
      <c r="B17" t="s">
        <v>11</v>
      </c>
      <c r="C17" t="s">
        <v>16</v>
      </c>
      <c r="D17">
        <v>5974</v>
      </c>
      <c r="E17" t="s">
        <v>4</v>
      </c>
      <c r="F17">
        <v>49715790</v>
      </c>
      <c r="G17">
        <v>2</v>
      </c>
      <c r="H17" t="s">
        <v>22</v>
      </c>
      <c r="I17" t="s">
        <v>25</v>
      </c>
      <c r="J17">
        <v>379</v>
      </c>
    </row>
    <row r="18" spans="1:10" x14ac:dyDescent="0.25">
      <c r="A18">
        <v>212</v>
      </c>
      <c r="B18" t="s">
        <v>9</v>
      </c>
      <c r="C18" t="s">
        <v>8</v>
      </c>
      <c r="D18">
        <v>3281</v>
      </c>
      <c r="E18" t="s">
        <v>4</v>
      </c>
      <c r="F18">
        <v>34804492</v>
      </c>
      <c r="G18">
        <v>7</v>
      </c>
      <c r="H18" t="s">
        <v>21</v>
      </c>
      <c r="I18" t="s">
        <v>28</v>
      </c>
      <c r="J18">
        <v>279</v>
      </c>
    </row>
    <row r="19" spans="1:10" x14ac:dyDescent="0.25">
      <c r="A19">
        <v>212</v>
      </c>
      <c r="B19" t="s">
        <v>11</v>
      </c>
      <c r="C19" t="s">
        <v>16</v>
      </c>
      <c r="D19">
        <v>1471</v>
      </c>
      <c r="E19" t="s">
        <v>5</v>
      </c>
      <c r="F19">
        <v>30000000</v>
      </c>
      <c r="G19">
        <f>87</f>
        <v>87</v>
      </c>
      <c r="H19" t="s">
        <v>21</v>
      </c>
      <c r="I19" t="s">
        <v>26</v>
      </c>
      <c r="J19">
        <v>270</v>
      </c>
    </row>
    <row r="20" spans="1:10" x14ac:dyDescent="0.25">
      <c r="A20">
        <v>202</v>
      </c>
      <c r="B20" t="s">
        <v>7</v>
      </c>
      <c r="C20" t="s">
        <v>10</v>
      </c>
      <c r="D20">
        <v>6223</v>
      </c>
      <c r="E20" t="s">
        <v>4</v>
      </c>
      <c r="F20">
        <v>11627279</v>
      </c>
      <c r="G20">
        <v>50</v>
      </c>
      <c r="H20" t="s">
        <v>22</v>
      </c>
      <c r="I20" t="s">
        <v>23</v>
      </c>
      <c r="J20">
        <v>298</v>
      </c>
    </row>
    <row r="21" spans="1:10" x14ac:dyDescent="0.25">
      <c r="A21">
        <v>201</v>
      </c>
      <c r="B21" t="s">
        <v>13</v>
      </c>
      <c r="C21" t="s">
        <v>12</v>
      </c>
      <c r="D21">
        <v>1832</v>
      </c>
      <c r="E21" t="s">
        <v>5</v>
      </c>
      <c r="F21">
        <v>14179399</v>
      </c>
      <c r="G21">
        <v>83</v>
      </c>
      <c r="H21" t="s">
        <v>21</v>
      </c>
      <c r="I21" t="s">
        <v>25</v>
      </c>
      <c r="J21">
        <v>420</v>
      </c>
    </row>
    <row r="22" spans="1:10" x14ac:dyDescent="0.25">
      <c r="A22">
        <v>200</v>
      </c>
      <c r="B22" t="s">
        <v>15</v>
      </c>
      <c r="C22" t="s">
        <v>16</v>
      </c>
      <c r="D22">
        <v>2787</v>
      </c>
      <c r="E22" t="s">
        <v>5</v>
      </c>
      <c r="F22">
        <v>30000000</v>
      </c>
      <c r="G22">
        <f>87</f>
        <v>87</v>
      </c>
      <c r="H22" t="s">
        <v>6</v>
      </c>
      <c r="I22" t="s">
        <v>27</v>
      </c>
      <c r="J22">
        <v>455</v>
      </c>
    </row>
    <row r="23" spans="1:10" x14ac:dyDescent="0.25">
      <c r="A23">
        <v>201</v>
      </c>
      <c r="B23" t="s">
        <v>11</v>
      </c>
      <c r="C23" t="s">
        <v>12</v>
      </c>
      <c r="D23">
        <v>8407</v>
      </c>
      <c r="E23" t="s">
        <v>4</v>
      </c>
      <c r="F23">
        <f>24636588</f>
        <v>24636588</v>
      </c>
      <c r="G23">
        <v>50</v>
      </c>
      <c r="H23" t="s">
        <v>21</v>
      </c>
      <c r="I23" t="s">
        <v>27</v>
      </c>
      <c r="J23">
        <v>50</v>
      </c>
    </row>
    <row r="24" spans="1:10" x14ac:dyDescent="0.25">
      <c r="A24">
        <v>208</v>
      </c>
      <c r="B24" t="s">
        <v>15</v>
      </c>
      <c r="C24" t="s">
        <v>8</v>
      </c>
      <c r="D24">
        <v>2713</v>
      </c>
      <c r="E24" t="s">
        <v>4</v>
      </c>
      <c r="F24">
        <f>29009744</f>
        <v>29009744</v>
      </c>
      <c r="G24">
        <v>50</v>
      </c>
      <c r="H24" t="s">
        <v>6</v>
      </c>
      <c r="I24" t="s">
        <v>24</v>
      </c>
      <c r="J24">
        <v>300</v>
      </c>
    </row>
    <row r="25" spans="1:10" x14ac:dyDescent="0.25">
      <c r="A25">
        <v>203</v>
      </c>
      <c r="B25" t="s">
        <v>13</v>
      </c>
      <c r="C25" t="s">
        <v>16</v>
      </c>
      <c r="D25">
        <v>9794</v>
      </c>
      <c r="E25" t="s">
        <v>5</v>
      </c>
      <c r="F25">
        <v>40203991</v>
      </c>
      <c r="G25">
        <v>50</v>
      </c>
      <c r="H25" t="s">
        <v>21</v>
      </c>
      <c r="I25" t="s">
        <v>23</v>
      </c>
      <c r="J25">
        <v>118</v>
      </c>
    </row>
    <row r="26" spans="1:10" x14ac:dyDescent="0.25">
      <c r="A26">
        <v>212</v>
      </c>
      <c r="B26" t="s">
        <v>13</v>
      </c>
      <c r="C26" t="s">
        <v>12</v>
      </c>
      <c r="D26">
        <v>2733</v>
      </c>
      <c r="E26" t="s">
        <v>4</v>
      </c>
      <c r="F26">
        <v>10906873</v>
      </c>
      <c r="G26">
        <f>67</f>
        <v>67</v>
      </c>
      <c r="H26" t="s">
        <v>6</v>
      </c>
      <c r="I26" t="s">
        <v>26</v>
      </c>
      <c r="J26">
        <v>122</v>
      </c>
    </row>
    <row r="27" spans="1:10" x14ac:dyDescent="0.25">
      <c r="A27">
        <v>214</v>
      </c>
      <c r="B27" t="s">
        <v>7</v>
      </c>
      <c r="C27" t="s">
        <v>10</v>
      </c>
      <c r="D27">
        <v>7187</v>
      </c>
      <c r="E27" t="s">
        <v>5</v>
      </c>
      <c r="F27">
        <v>21734730</v>
      </c>
      <c r="G27">
        <v>50</v>
      </c>
      <c r="H27" t="s">
        <v>21</v>
      </c>
      <c r="I27" t="s">
        <v>23</v>
      </c>
      <c r="J27">
        <v>498</v>
      </c>
    </row>
    <row r="28" spans="1:10" x14ac:dyDescent="0.25">
      <c r="A28">
        <v>204</v>
      </c>
      <c r="B28" t="s">
        <v>9</v>
      </c>
      <c r="C28" t="s">
        <v>12</v>
      </c>
      <c r="D28">
        <v>9037</v>
      </c>
      <c r="E28" t="s">
        <v>4</v>
      </c>
      <c r="F28">
        <v>16527672</v>
      </c>
      <c r="G28">
        <v>50</v>
      </c>
      <c r="H28" t="s">
        <v>6</v>
      </c>
      <c r="I28" t="s">
        <v>24</v>
      </c>
      <c r="J28">
        <v>162</v>
      </c>
    </row>
    <row r="29" spans="1:10" x14ac:dyDescent="0.25">
      <c r="A29">
        <v>214</v>
      </c>
      <c r="B29" t="s">
        <v>13</v>
      </c>
      <c r="C29" t="s">
        <v>16</v>
      </c>
      <c r="D29">
        <v>1545</v>
      </c>
      <c r="E29" t="s">
        <v>4</v>
      </c>
      <c r="F29">
        <v>11022956</v>
      </c>
      <c r="G29">
        <v>107</v>
      </c>
      <c r="H29" t="s">
        <v>6</v>
      </c>
      <c r="I29" t="s">
        <v>26</v>
      </c>
      <c r="J29">
        <v>480</v>
      </c>
    </row>
    <row r="30" spans="1:10" x14ac:dyDescent="0.25">
      <c r="A30">
        <v>212</v>
      </c>
      <c r="B30" t="s">
        <v>11</v>
      </c>
      <c r="C30" t="s">
        <v>8</v>
      </c>
      <c r="D30">
        <v>2066</v>
      </c>
      <c r="E30" t="s">
        <v>4</v>
      </c>
      <c r="F30">
        <v>47094916</v>
      </c>
      <c r="G30">
        <v>100</v>
      </c>
      <c r="H30" t="s">
        <v>6</v>
      </c>
      <c r="I30" t="s">
        <v>23</v>
      </c>
      <c r="J30">
        <v>85</v>
      </c>
    </row>
    <row r="31" spans="1:10" x14ac:dyDescent="0.25">
      <c r="A31">
        <v>209</v>
      </c>
      <c r="B31" t="s">
        <v>9</v>
      </c>
      <c r="C31" t="s">
        <v>16</v>
      </c>
      <c r="D31">
        <v>9706</v>
      </c>
      <c r="E31" t="s">
        <v>5</v>
      </c>
      <c r="F31">
        <v>18940168</v>
      </c>
      <c r="G31">
        <v>5</v>
      </c>
      <c r="H31" t="s">
        <v>21</v>
      </c>
      <c r="I31" t="s">
        <v>23</v>
      </c>
      <c r="J31">
        <v>156</v>
      </c>
    </row>
    <row r="32" spans="1:10" x14ac:dyDescent="0.25">
      <c r="A32">
        <v>207</v>
      </c>
      <c r="B32" t="s">
        <v>13</v>
      </c>
      <c r="C32" t="s">
        <v>16</v>
      </c>
      <c r="D32">
        <v>5702</v>
      </c>
      <c r="E32" t="s">
        <v>4</v>
      </c>
      <c r="F32">
        <v>30000000</v>
      </c>
      <c r="G32">
        <f>87</f>
        <v>87</v>
      </c>
      <c r="H32" t="s">
        <v>21</v>
      </c>
      <c r="I32" t="s">
        <v>27</v>
      </c>
      <c r="J32">
        <v>112</v>
      </c>
    </row>
    <row r="33" spans="1:10" x14ac:dyDescent="0.25">
      <c r="A33">
        <v>206</v>
      </c>
      <c r="B33" t="s">
        <v>7</v>
      </c>
      <c r="C33" t="s">
        <v>10</v>
      </c>
      <c r="D33">
        <v>3907</v>
      </c>
      <c r="E33" t="s">
        <v>4</v>
      </c>
      <c r="F33">
        <f>20431737</f>
        <v>20431737</v>
      </c>
      <c r="G33">
        <v>50</v>
      </c>
      <c r="H33" t="s">
        <v>21</v>
      </c>
      <c r="I33" t="s">
        <v>27</v>
      </c>
      <c r="J33">
        <v>354</v>
      </c>
    </row>
    <row r="34" spans="1:10" x14ac:dyDescent="0.25">
      <c r="A34">
        <v>211</v>
      </c>
      <c r="B34" t="s">
        <v>11</v>
      </c>
      <c r="C34" t="s">
        <v>8</v>
      </c>
      <c r="D34">
        <v>7765</v>
      </c>
      <c r="E34" t="s">
        <v>4</v>
      </c>
      <c r="F34">
        <v>30000000</v>
      </c>
      <c r="G34">
        <f>63</f>
        <v>63</v>
      </c>
      <c r="H34" t="s">
        <v>22</v>
      </c>
      <c r="I34" t="s">
        <v>26</v>
      </c>
      <c r="J34">
        <v>501</v>
      </c>
    </row>
    <row r="35" spans="1:10" x14ac:dyDescent="0.25">
      <c r="A35">
        <v>200</v>
      </c>
      <c r="B35" t="s">
        <v>7</v>
      </c>
      <c r="C35" t="s">
        <v>8</v>
      </c>
      <c r="D35">
        <v>2375</v>
      </c>
      <c r="E35" t="s">
        <v>4</v>
      </c>
      <c r="F35">
        <v>30000000</v>
      </c>
      <c r="G35">
        <f>63</f>
        <v>63</v>
      </c>
      <c r="H35" t="s">
        <v>21</v>
      </c>
      <c r="I35" t="s">
        <v>27</v>
      </c>
      <c r="J35">
        <v>271</v>
      </c>
    </row>
    <row r="36" spans="1:10" x14ac:dyDescent="0.25">
      <c r="A36">
        <v>206</v>
      </c>
      <c r="B36" t="s">
        <v>13</v>
      </c>
      <c r="C36" t="s">
        <v>12</v>
      </c>
      <c r="D36">
        <v>5657</v>
      </c>
      <c r="E36" t="s">
        <v>4</v>
      </c>
      <c r="F36">
        <v>19243847</v>
      </c>
      <c r="G36">
        <f>67</f>
        <v>67</v>
      </c>
      <c r="H36" t="s">
        <v>21</v>
      </c>
      <c r="I36" t="s">
        <v>23</v>
      </c>
      <c r="J36">
        <v>168</v>
      </c>
    </row>
    <row r="37" spans="1:10" x14ac:dyDescent="0.25">
      <c r="A37">
        <v>204</v>
      </c>
      <c r="B37" t="s">
        <v>7</v>
      </c>
      <c r="C37" t="s">
        <v>10</v>
      </c>
      <c r="D37">
        <v>5816</v>
      </c>
      <c r="E37" t="s">
        <v>5</v>
      </c>
      <c r="F37">
        <v>13953034</v>
      </c>
      <c r="G37">
        <v>150</v>
      </c>
      <c r="H37" t="s">
        <v>6</v>
      </c>
      <c r="I37" t="s">
        <v>26</v>
      </c>
      <c r="J37">
        <v>418</v>
      </c>
    </row>
    <row r="38" spans="1:10" x14ac:dyDescent="0.25">
      <c r="A38">
        <v>203</v>
      </c>
      <c r="B38" t="s">
        <v>13</v>
      </c>
      <c r="C38" t="s">
        <v>8</v>
      </c>
      <c r="D38">
        <v>7704</v>
      </c>
      <c r="E38" t="s">
        <v>4</v>
      </c>
      <c r="F38">
        <v>30000000</v>
      </c>
      <c r="G38">
        <v>100</v>
      </c>
      <c r="H38" t="s">
        <v>21</v>
      </c>
      <c r="I38" t="s">
        <v>27</v>
      </c>
      <c r="J38">
        <v>750</v>
      </c>
    </row>
    <row r="39" spans="1:10" x14ac:dyDescent="0.25">
      <c r="A39">
        <v>212</v>
      </c>
      <c r="B39" t="s">
        <v>9</v>
      </c>
      <c r="C39" t="s">
        <v>10</v>
      </c>
      <c r="D39">
        <v>2544</v>
      </c>
      <c r="E39" t="s">
        <v>5</v>
      </c>
      <c r="F39">
        <v>29532457</v>
      </c>
      <c r="G39">
        <v>100</v>
      </c>
      <c r="H39" t="s">
        <v>6</v>
      </c>
      <c r="I39" t="s">
        <v>24</v>
      </c>
      <c r="J39">
        <v>450</v>
      </c>
    </row>
    <row r="40" spans="1:10" x14ac:dyDescent="0.25">
      <c r="A40">
        <v>205</v>
      </c>
      <c r="B40" t="s">
        <v>7</v>
      </c>
      <c r="C40" t="s">
        <v>8</v>
      </c>
      <c r="D40">
        <v>5710</v>
      </c>
      <c r="E40" t="s">
        <v>5</v>
      </c>
      <c r="F40">
        <f>29009744</f>
        <v>29009744</v>
      </c>
      <c r="G40">
        <v>10</v>
      </c>
      <c r="H40" t="s">
        <v>21</v>
      </c>
      <c r="I40" t="s">
        <v>28</v>
      </c>
      <c r="J40">
        <v>522</v>
      </c>
    </row>
    <row r="41" spans="1:10" x14ac:dyDescent="0.25">
      <c r="A41">
        <v>204</v>
      </c>
      <c r="B41" t="s">
        <v>7</v>
      </c>
      <c r="C41" t="s">
        <v>14</v>
      </c>
      <c r="D41">
        <v>7737</v>
      </c>
      <c r="E41" t="s">
        <v>4</v>
      </c>
      <c r="F41">
        <v>11542973</v>
      </c>
      <c r="G41">
        <v>100</v>
      </c>
      <c r="H41" t="s">
        <v>21</v>
      </c>
      <c r="I41" t="s">
        <v>23</v>
      </c>
      <c r="J41">
        <v>982</v>
      </c>
    </row>
    <row r="42" spans="1:10" x14ac:dyDescent="0.25">
      <c r="A42">
        <v>208</v>
      </c>
      <c r="B42" t="s">
        <v>9</v>
      </c>
      <c r="C42" t="s">
        <v>8</v>
      </c>
      <c r="D42">
        <v>5406</v>
      </c>
      <c r="E42" t="s">
        <v>4</v>
      </c>
      <c r="F42">
        <f>29009744</f>
        <v>29009744</v>
      </c>
      <c r="G42">
        <v>50</v>
      </c>
      <c r="H42" t="s">
        <v>21</v>
      </c>
      <c r="I42" t="s">
        <v>27</v>
      </c>
      <c r="J42">
        <v>260</v>
      </c>
    </row>
    <row r="43" spans="1:10" x14ac:dyDescent="0.25">
      <c r="A43">
        <v>212</v>
      </c>
      <c r="B43" t="s">
        <v>9</v>
      </c>
      <c r="C43" t="s">
        <v>16</v>
      </c>
      <c r="D43">
        <v>3967</v>
      </c>
      <c r="E43" t="s">
        <v>4</v>
      </c>
      <c r="F43">
        <v>19469496</v>
      </c>
      <c r="G43">
        <v>100</v>
      </c>
      <c r="H43" t="s">
        <v>6</v>
      </c>
      <c r="I43" t="s">
        <v>28</v>
      </c>
      <c r="J43">
        <v>318</v>
      </c>
    </row>
    <row r="44" spans="1:10" x14ac:dyDescent="0.25">
      <c r="A44">
        <v>214</v>
      </c>
      <c r="B44" t="s">
        <v>13</v>
      </c>
      <c r="C44" t="s">
        <v>12</v>
      </c>
      <c r="D44">
        <v>1965</v>
      </c>
      <c r="E44" t="s">
        <v>4</v>
      </c>
      <c r="F44">
        <v>30000000</v>
      </c>
      <c r="G44">
        <v>100</v>
      </c>
      <c r="H44" t="s">
        <v>6</v>
      </c>
      <c r="I44" t="s">
        <v>25</v>
      </c>
      <c r="J44">
        <v>50</v>
      </c>
    </row>
    <row r="45" spans="1:10" x14ac:dyDescent="0.25">
      <c r="A45">
        <v>210</v>
      </c>
      <c r="B45" t="s">
        <v>13</v>
      </c>
      <c r="C45" t="s">
        <v>12</v>
      </c>
      <c r="D45">
        <v>3357</v>
      </c>
      <c r="E45" t="s">
        <v>4</v>
      </c>
      <c r="F45">
        <v>25779106</v>
      </c>
      <c r="G45">
        <v>100</v>
      </c>
      <c r="H45" t="s">
        <v>21</v>
      </c>
      <c r="I45" t="s">
        <v>28</v>
      </c>
      <c r="J45">
        <v>620</v>
      </c>
    </row>
    <row r="46" spans="1:10" x14ac:dyDescent="0.25">
      <c r="A46">
        <v>211</v>
      </c>
      <c r="B46" t="s">
        <v>7</v>
      </c>
      <c r="C46" t="s">
        <v>10</v>
      </c>
      <c r="D46">
        <v>8662</v>
      </c>
      <c r="E46" t="s">
        <v>5</v>
      </c>
      <c r="F46">
        <v>4010932</v>
      </c>
      <c r="G46">
        <f>71</f>
        <v>71</v>
      </c>
      <c r="H46" t="s">
        <v>21</v>
      </c>
      <c r="I46" t="s">
        <v>28</v>
      </c>
      <c r="J46">
        <v>80</v>
      </c>
    </row>
    <row r="47" spans="1:10" x14ac:dyDescent="0.25">
      <c r="A47">
        <v>201</v>
      </c>
      <c r="B47" t="s">
        <v>9</v>
      </c>
      <c r="C47" t="s">
        <v>14</v>
      </c>
      <c r="D47">
        <v>4361</v>
      </c>
      <c r="E47" t="s">
        <v>5</v>
      </c>
      <c r="F47">
        <f>29210831</f>
        <v>29210831</v>
      </c>
      <c r="G47">
        <v>74</v>
      </c>
      <c r="H47" t="s">
        <v>21</v>
      </c>
      <c r="I47" t="s">
        <v>23</v>
      </c>
      <c r="J47">
        <v>200</v>
      </c>
    </row>
    <row r="48" spans="1:10" x14ac:dyDescent="0.25">
      <c r="A48">
        <v>209</v>
      </c>
      <c r="B48" t="s">
        <v>9</v>
      </c>
      <c r="C48" t="s">
        <v>14</v>
      </c>
      <c r="D48">
        <v>8748</v>
      </c>
      <c r="E48" t="s">
        <v>5</v>
      </c>
      <c r="F48">
        <v>38295845</v>
      </c>
      <c r="G48">
        <v>25</v>
      </c>
      <c r="H48" t="s">
        <v>21</v>
      </c>
      <c r="I48" t="s">
        <v>25</v>
      </c>
      <c r="J48">
        <v>168</v>
      </c>
    </row>
    <row r="49" spans="1:10" x14ac:dyDescent="0.25">
      <c r="A49">
        <v>202</v>
      </c>
      <c r="B49" t="s">
        <v>9</v>
      </c>
      <c r="C49" t="s">
        <v>8</v>
      </c>
      <c r="D49">
        <v>5444</v>
      </c>
      <c r="E49" t="s">
        <v>4</v>
      </c>
      <c r="F49">
        <v>36184408</v>
      </c>
      <c r="G49">
        <v>6</v>
      </c>
      <c r="H49" t="s">
        <v>6</v>
      </c>
      <c r="I49" t="s">
        <v>25</v>
      </c>
      <c r="J49">
        <v>614</v>
      </c>
    </row>
    <row r="50" spans="1:10" x14ac:dyDescent="0.25">
      <c r="A50">
        <v>215</v>
      </c>
      <c r="B50" t="s">
        <v>7</v>
      </c>
      <c r="C50" t="s">
        <v>14</v>
      </c>
      <c r="D50">
        <v>4652</v>
      </c>
      <c r="E50" t="s">
        <v>4</v>
      </c>
      <c r="F50">
        <v>9497128</v>
      </c>
      <c r="G50">
        <v>100</v>
      </c>
      <c r="H50" t="s">
        <v>6</v>
      </c>
      <c r="I50" t="s">
        <v>25</v>
      </c>
      <c r="J50">
        <v>110</v>
      </c>
    </row>
    <row r="51" spans="1:10" x14ac:dyDescent="0.25">
      <c r="A51">
        <v>202</v>
      </c>
      <c r="B51" t="s">
        <v>11</v>
      </c>
      <c r="C51" t="s">
        <v>14</v>
      </c>
      <c r="D51">
        <v>9621</v>
      </c>
      <c r="E51" t="s">
        <v>5</v>
      </c>
      <c r="F51">
        <v>40926474</v>
      </c>
      <c r="G51">
        <v>100</v>
      </c>
      <c r="H51" t="s">
        <v>22</v>
      </c>
      <c r="I51" t="s">
        <v>27</v>
      </c>
      <c r="J51">
        <v>320</v>
      </c>
    </row>
    <row r="52" spans="1:10" x14ac:dyDescent="0.25">
      <c r="A52">
        <v>205</v>
      </c>
      <c r="B52" t="s">
        <v>15</v>
      </c>
      <c r="C52" t="s">
        <v>16</v>
      </c>
      <c r="D52">
        <v>6659</v>
      </c>
      <c r="E52" t="s">
        <v>5</v>
      </c>
      <c r="F52">
        <v>43158562</v>
      </c>
      <c r="G52">
        <f>87</f>
        <v>87</v>
      </c>
      <c r="H52" t="s">
        <v>6</v>
      </c>
      <c r="I52" t="s">
        <v>27</v>
      </c>
      <c r="J52">
        <v>197</v>
      </c>
    </row>
    <row r="53" spans="1:10" x14ac:dyDescent="0.25">
      <c r="A53">
        <v>205</v>
      </c>
      <c r="B53" t="s">
        <v>13</v>
      </c>
      <c r="C53" t="s">
        <v>10</v>
      </c>
      <c r="D53">
        <v>6900</v>
      </c>
      <c r="E53" t="s">
        <v>4</v>
      </c>
      <c r="F53">
        <v>30000000</v>
      </c>
      <c r="G53">
        <f>71</f>
        <v>71</v>
      </c>
      <c r="H53" t="s">
        <v>6</v>
      </c>
      <c r="I53" t="s">
        <v>26</v>
      </c>
      <c r="J53">
        <v>416</v>
      </c>
    </row>
    <row r="54" spans="1:10" x14ac:dyDescent="0.25">
      <c r="A54">
        <v>213</v>
      </c>
      <c r="B54" t="s">
        <v>7</v>
      </c>
      <c r="C54" t="s">
        <v>12</v>
      </c>
      <c r="D54">
        <v>2457</v>
      </c>
      <c r="E54" t="s">
        <v>5</v>
      </c>
      <c r="F54">
        <f>24636588</f>
        <v>24636588</v>
      </c>
      <c r="G54">
        <v>1</v>
      </c>
      <c r="H54" t="s">
        <v>21</v>
      </c>
      <c r="I54" t="s">
        <v>28</v>
      </c>
      <c r="J54">
        <v>134</v>
      </c>
    </row>
    <row r="55" spans="1:10" x14ac:dyDescent="0.25">
      <c r="A55">
        <v>214</v>
      </c>
      <c r="B55" t="s">
        <v>9</v>
      </c>
      <c r="C55" t="s">
        <v>8</v>
      </c>
      <c r="D55">
        <v>8394</v>
      </c>
      <c r="E55" t="s">
        <v>5</v>
      </c>
      <c r="F55">
        <v>36831445</v>
      </c>
      <c r="G55">
        <v>100</v>
      </c>
      <c r="H55" t="s">
        <v>6</v>
      </c>
      <c r="I55" t="s">
        <v>25</v>
      </c>
      <c r="J55">
        <v>300</v>
      </c>
    </row>
    <row r="56" spans="1:10" x14ac:dyDescent="0.25">
      <c r="A56">
        <v>204</v>
      </c>
      <c r="B56" t="s">
        <v>15</v>
      </c>
      <c r="C56" t="s">
        <v>12</v>
      </c>
      <c r="D56">
        <v>4582</v>
      </c>
      <c r="E56" t="s">
        <v>5</v>
      </c>
      <c r="F56">
        <f>24636588</f>
        <v>24636588</v>
      </c>
      <c r="G56">
        <v>135</v>
      </c>
      <c r="H56" t="s">
        <v>6</v>
      </c>
      <c r="I56" t="s">
        <v>24</v>
      </c>
      <c r="J56">
        <v>122</v>
      </c>
    </row>
    <row r="57" spans="1:10" x14ac:dyDescent="0.25">
      <c r="A57">
        <v>203</v>
      </c>
      <c r="B57" t="s">
        <v>9</v>
      </c>
      <c r="C57" t="s">
        <v>14</v>
      </c>
      <c r="D57">
        <v>7421</v>
      </c>
      <c r="E57" t="s">
        <v>5</v>
      </c>
      <c r="F57">
        <v>39760465</v>
      </c>
      <c r="G57">
        <v>1</v>
      </c>
      <c r="H57" t="s">
        <v>21</v>
      </c>
      <c r="I57" t="s">
        <v>28</v>
      </c>
      <c r="J57">
        <v>380</v>
      </c>
    </row>
    <row r="58" spans="1:10" x14ac:dyDescent="0.25">
      <c r="A58">
        <v>205</v>
      </c>
      <c r="B58" t="s">
        <v>9</v>
      </c>
      <c r="C58" t="s">
        <v>12</v>
      </c>
      <c r="D58">
        <v>1442</v>
      </c>
      <c r="E58" t="s">
        <v>4</v>
      </c>
      <c r="F58">
        <f>24636588</f>
        <v>24636588</v>
      </c>
      <c r="G58">
        <v>100</v>
      </c>
      <c r="H58" t="s">
        <v>21</v>
      </c>
      <c r="I58" t="s">
        <v>27</v>
      </c>
      <c r="J58">
        <v>500</v>
      </c>
    </row>
    <row r="59" spans="1:10" x14ac:dyDescent="0.25">
      <c r="A59">
        <v>213</v>
      </c>
      <c r="B59" t="s">
        <v>9</v>
      </c>
      <c r="C59" t="s">
        <v>10</v>
      </c>
      <c r="D59">
        <v>7391</v>
      </c>
      <c r="E59" t="s">
        <v>4</v>
      </c>
      <c r="F59">
        <f>20431737</f>
        <v>20431737</v>
      </c>
      <c r="G59">
        <v>105</v>
      </c>
      <c r="H59" t="s">
        <v>6</v>
      </c>
      <c r="I59" t="s">
        <v>28</v>
      </c>
      <c r="J59">
        <v>419</v>
      </c>
    </row>
    <row r="60" spans="1:10" x14ac:dyDescent="0.25">
      <c r="A60">
        <v>211</v>
      </c>
      <c r="B60" t="s">
        <v>13</v>
      </c>
      <c r="C60" t="s">
        <v>16</v>
      </c>
      <c r="D60">
        <v>3243</v>
      </c>
      <c r="E60" t="s">
        <v>4</v>
      </c>
      <c r="F60">
        <v>17413596</v>
      </c>
      <c r="G60">
        <v>100</v>
      </c>
      <c r="H60" t="s">
        <v>21</v>
      </c>
      <c r="I60" t="s">
        <v>28</v>
      </c>
      <c r="J60">
        <v>344</v>
      </c>
    </row>
    <row r="61" spans="1:10" x14ac:dyDescent="0.25">
      <c r="A61">
        <v>215</v>
      </c>
      <c r="B61" t="s">
        <v>7</v>
      </c>
      <c r="C61" t="s">
        <v>8</v>
      </c>
      <c r="D61">
        <v>1795</v>
      </c>
      <c r="E61" t="s">
        <v>4</v>
      </c>
      <c r="F61">
        <v>30000000</v>
      </c>
      <c r="G61">
        <v>100</v>
      </c>
      <c r="H61" t="s">
        <v>21</v>
      </c>
      <c r="I61" t="s">
        <v>27</v>
      </c>
      <c r="J61">
        <v>390</v>
      </c>
    </row>
    <row r="62" spans="1:10" x14ac:dyDescent="0.25">
      <c r="A62">
        <v>203</v>
      </c>
      <c r="B62" t="s">
        <v>13</v>
      </c>
      <c r="C62" t="s">
        <v>16</v>
      </c>
      <c r="D62">
        <v>2589</v>
      </c>
      <c r="E62" t="s">
        <v>4</v>
      </c>
      <c r="F62">
        <v>34869579</v>
      </c>
      <c r="G62">
        <v>196</v>
      </c>
      <c r="H62" t="s">
        <v>21</v>
      </c>
      <c r="I62" t="s">
        <v>25</v>
      </c>
      <c r="J62">
        <v>179</v>
      </c>
    </row>
    <row r="63" spans="1:10" x14ac:dyDescent="0.25">
      <c r="A63">
        <v>201</v>
      </c>
      <c r="B63" t="s">
        <v>9</v>
      </c>
      <c r="C63" t="s">
        <v>12</v>
      </c>
      <c r="D63">
        <v>6595</v>
      </c>
      <c r="E63" t="s">
        <v>5</v>
      </c>
      <c r="F63">
        <v>9032452</v>
      </c>
      <c r="G63">
        <f>67</f>
        <v>67</v>
      </c>
      <c r="H63" t="s">
        <v>22</v>
      </c>
      <c r="I63" t="s">
        <v>28</v>
      </c>
      <c r="J63">
        <v>505</v>
      </c>
    </row>
    <row r="64" spans="1:10" x14ac:dyDescent="0.25">
      <c r="A64">
        <v>208</v>
      </c>
      <c r="B64" t="s">
        <v>9</v>
      </c>
      <c r="C64" t="s">
        <v>14</v>
      </c>
      <c r="D64">
        <v>8418</v>
      </c>
      <c r="E64" t="s">
        <v>5</v>
      </c>
      <c r="F64">
        <v>30000000</v>
      </c>
      <c r="G64">
        <v>8</v>
      </c>
      <c r="H64" t="s">
        <v>21</v>
      </c>
      <c r="I64" t="s">
        <v>26</v>
      </c>
      <c r="J64">
        <v>158</v>
      </c>
    </row>
    <row r="65" spans="1:10" x14ac:dyDescent="0.25">
      <c r="A65">
        <v>200</v>
      </c>
      <c r="B65" t="s">
        <v>13</v>
      </c>
      <c r="C65" t="s">
        <v>10</v>
      </c>
      <c r="D65">
        <v>1013</v>
      </c>
      <c r="E65" t="s">
        <v>4</v>
      </c>
      <c r="F65">
        <v>24634578</v>
      </c>
      <c r="G65">
        <v>100</v>
      </c>
      <c r="H65" t="s">
        <v>6</v>
      </c>
      <c r="I65" t="s">
        <v>26</v>
      </c>
      <c r="J65">
        <v>675</v>
      </c>
    </row>
    <row r="66" spans="1:10" x14ac:dyDescent="0.25">
      <c r="A66">
        <v>212</v>
      </c>
      <c r="B66" t="s">
        <v>9</v>
      </c>
      <c r="C66" t="s">
        <v>8</v>
      </c>
      <c r="D66">
        <v>3158</v>
      </c>
      <c r="E66" t="s">
        <v>5</v>
      </c>
      <c r="F66">
        <v>23422412</v>
      </c>
      <c r="G66">
        <f>63</f>
        <v>63</v>
      </c>
      <c r="H66" t="s">
        <v>21</v>
      </c>
      <c r="I66" t="s">
        <v>27</v>
      </c>
      <c r="J66">
        <v>720</v>
      </c>
    </row>
    <row r="67" spans="1:10" x14ac:dyDescent="0.25">
      <c r="A67">
        <v>212</v>
      </c>
      <c r="B67" t="s">
        <v>9</v>
      </c>
      <c r="C67" t="s">
        <v>16</v>
      </c>
      <c r="D67">
        <v>9165</v>
      </c>
      <c r="E67" t="s">
        <v>4</v>
      </c>
      <c r="F67">
        <v>27357339</v>
      </c>
      <c r="G67">
        <v>100</v>
      </c>
      <c r="H67" t="s">
        <v>21</v>
      </c>
      <c r="I67" t="s">
        <v>24</v>
      </c>
      <c r="J67">
        <v>400</v>
      </c>
    </row>
    <row r="68" spans="1:10" x14ac:dyDescent="0.25">
      <c r="A68">
        <v>203</v>
      </c>
      <c r="B68" t="s">
        <v>15</v>
      </c>
      <c r="C68" t="s">
        <v>10</v>
      </c>
      <c r="D68">
        <v>7293</v>
      </c>
      <c r="E68" t="s">
        <v>5</v>
      </c>
      <c r="F68">
        <f>20431737</f>
        <v>20431737</v>
      </c>
      <c r="G68">
        <f>71</f>
        <v>71</v>
      </c>
      <c r="H68" t="s">
        <v>21</v>
      </c>
      <c r="I68" t="s">
        <v>24</v>
      </c>
      <c r="J68">
        <v>120</v>
      </c>
    </row>
    <row r="69" spans="1:10" x14ac:dyDescent="0.25">
      <c r="A69">
        <v>213</v>
      </c>
      <c r="B69" t="s">
        <v>15</v>
      </c>
      <c r="C69" t="s">
        <v>12</v>
      </c>
      <c r="D69">
        <v>5656</v>
      </c>
      <c r="E69" t="s">
        <v>5</v>
      </c>
      <c r="F69">
        <f t="shared" ref="F69:F70" si="2">24636588</f>
        <v>24636588</v>
      </c>
      <c r="G69">
        <f>67</f>
        <v>67</v>
      </c>
      <c r="H69" t="s">
        <v>21</v>
      </c>
      <c r="I69" t="s">
        <v>26</v>
      </c>
      <c r="J69">
        <v>220</v>
      </c>
    </row>
    <row r="70" spans="1:10" x14ac:dyDescent="0.25">
      <c r="A70">
        <v>206</v>
      </c>
      <c r="B70" t="s">
        <v>9</v>
      </c>
      <c r="C70" t="s">
        <v>12</v>
      </c>
      <c r="D70">
        <v>2889</v>
      </c>
      <c r="E70" t="s">
        <v>4</v>
      </c>
      <c r="F70">
        <f t="shared" si="2"/>
        <v>24636588</v>
      </c>
      <c r="G70">
        <v>3</v>
      </c>
      <c r="H70" t="s">
        <v>21</v>
      </c>
      <c r="I70" t="s">
        <v>24</v>
      </c>
      <c r="J70">
        <v>210</v>
      </c>
    </row>
    <row r="71" spans="1:10" x14ac:dyDescent="0.25">
      <c r="A71">
        <v>208</v>
      </c>
      <c r="B71" t="s">
        <v>9</v>
      </c>
      <c r="C71" t="s">
        <v>14</v>
      </c>
      <c r="D71">
        <v>3127</v>
      </c>
      <c r="E71" t="s">
        <v>5</v>
      </c>
      <c r="F71">
        <v>29339203</v>
      </c>
      <c r="G71">
        <v>3</v>
      </c>
      <c r="H71" t="s">
        <v>6</v>
      </c>
      <c r="I71" t="s">
        <v>27</v>
      </c>
      <c r="J71">
        <v>468</v>
      </c>
    </row>
    <row r="72" spans="1:10" x14ac:dyDescent="0.25">
      <c r="A72">
        <v>215</v>
      </c>
      <c r="B72" t="s">
        <v>11</v>
      </c>
      <c r="C72" t="s">
        <v>8</v>
      </c>
      <c r="D72">
        <v>9525</v>
      </c>
      <c r="E72" t="s">
        <v>5</v>
      </c>
      <c r="F72">
        <v>30000000</v>
      </c>
      <c r="G72">
        <v>100</v>
      </c>
      <c r="H72" t="s">
        <v>21</v>
      </c>
      <c r="I72" t="s">
        <v>27</v>
      </c>
      <c r="J72">
        <v>428</v>
      </c>
    </row>
    <row r="73" spans="1:10" x14ac:dyDescent="0.25">
      <c r="A73">
        <v>203</v>
      </c>
      <c r="B73" t="s">
        <v>9</v>
      </c>
      <c r="C73" t="s">
        <v>14</v>
      </c>
      <c r="D73">
        <v>4644</v>
      </c>
      <c r="E73" t="s">
        <v>5</v>
      </c>
      <c r="F73">
        <v>39529521</v>
      </c>
      <c r="G73">
        <f>61</f>
        <v>61</v>
      </c>
      <c r="H73" t="s">
        <v>6</v>
      </c>
      <c r="I73" t="s">
        <v>26</v>
      </c>
      <c r="J73">
        <v>70</v>
      </c>
    </row>
    <row r="74" spans="1:10" x14ac:dyDescent="0.25">
      <c r="A74">
        <v>210</v>
      </c>
      <c r="B74" t="s">
        <v>11</v>
      </c>
      <c r="C74" t="s">
        <v>16</v>
      </c>
      <c r="D74">
        <v>6393</v>
      </c>
      <c r="E74" t="s">
        <v>5</v>
      </c>
      <c r="F74">
        <v>13493776</v>
      </c>
      <c r="G74">
        <v>46</v>
      </c>
      <c r="H74" t="s">
        <v>21</v>
      </c>
      <c r="I74" t="s">
        <v>23</v>
      </c>
      <c r="J74">
        <v>370</v>
      </c>
    </row>
    <row r="75" spans="1:10" x14ac:dyDescent="0.25">
      <c r="A75">
        <v>210</v>
      </c>
      <c r="B75" t="s">
        <v>15</v>
      </c>
      <c r="C75" t="s">
        <v>10</v>
      </c>
      <c r="D75">
        <v>6623</v>
      </c>
      <c r="E75" t="s">
        <v>5</v>
      </c>
      <c r="F75">
        <v>30000000</v>
      </c>
      <c r="G75">
        <v>100</v>
      </c>
      <c r="H75" t="s">
        <v>6</v>
      </c>
      <c r="I75" t="s">
        <v>27</v>
      </c>
      <c r="J75">
        <v>874</v>
      </c>
    </row>
    <row r="76" spans="1:10" x14ac:dyDescent="0.25">
      <c r="A76">
        <v>209</v>
      </c>
      <c r="B76" t="s">
        <v>9</v>
      </c>
      <c r="C76" t="s">
        <v>14</v>
      </c>
      <c r="D76">
        <v>3872</v>
      </c>
      <c r="E76" t="s">
        <v>5</v>
      </c>
      <c r="F76">
        <v>30000000</v>
      </c>
      <c r="G76">
        <f>61</f>
        <v>61</v>
      </c>
      <c r="H76" t="s">
        <v>21</v>
      </c>
      <c r="I76" t="s">
        <v>23</v>
      </c>
      <c r="J76">
        <v>65</v>
      </c>
    </row>
    <row r="77" spans="1:10" x14ac:dyDescent="0.25">
      <c r="A77">
        <v>212</v>
      </c>
      <c r="B77" t="s">
        <v>7</v>
      </c>
      <c r="C77" t="s">
        <v>10</v>
      </c>
      <c r="D77">
        <v>5914</v>
      </c>
      <c r="E77" t="s">
        <v>5</v>
      </c>
      <c r="F77">
        <v>1898632</v>
      </c>
      <c r="G77">
        <v>50</v>
      </c>
      <c r="H77" t="s">
        <v>21</v>
      </c>
      <c r="I77" t="s">
        <v>25</v>
      </c>
      <c r="J77">
        <v>124</v>
      </c>
    </row>
    <row r="78" spans="1:10" x14ac:dyDescent="0.25">
      <c r="A78">
        <v>205</v>
      </c>
      <c r="B78" t="s">
        <v>13</v>
      </c>
      <c r="C78" t="s">
        <v>16</v>
      </c>
      <c r="D78">
        <v>3120</v>
      </c>
      <c r="E78" t="s">
        <v>4</v>
      </c>
      <c r="F78">
        <v>2593362</v>
      </c>
      <c r="G78">
        <f>87</f>
        <v>87</v>
      </c>
      <c r="H78" t="s">
        <v>6</v>
      </c>
      <c r="I78" t="s">
        <v>24</v>
      </c>
      <c r="J78">
        <v>918</v>
      </c>
    </row>
    <row r="79" spans="1:10" x14ac:dyDescent="0.25">
      <c r="A79">
        <v>204</v>
      </c>
      <c r="B79" t="s">
        <v>9</v>
      </c>
      <c r="C79" t="s">
        <v>14</v>
      </c>
      <c r="D79">
        <v>8115</v>
      </c>
      <c r="E79" t="s">
        <v>4</v>
      </c>
      <c r="F79">
        <v>35268369</v>
      </c>
      <c r="G79">
        <v>100</v>
      </c>
      <c r="H79" t="s">
        <v>22</v>
      </c>
      <c r="I79" t="s">
        <v>28</v>
      </c>
      <c r="J79">
        <v>160</v>
      </c>
    </row>
    <row r="80" spans="1:10" x14ac:dyDescent="0.25">
      <c r="A80">
        <v>212</v>
      </c>
      <c r="B80" t="s">
        <v>9</v>
      </c>
      <c r="C80" t="s">
        <v>16</v>
      </c>
      <c r="D80">
        <v>4412</v>
      </c>
      <c r="E80" t="s">
        <v>4</v>
      </c>
      <c r="F80">
        <v>7279940</v>
      </c>
      <c r="G80">
        <v>93</v>
      </c>
      <c r="H80" t="s">
        <v>6</v>
      </c>
      <c r="I80" t="s">
        <v>23</v>
      </c>
      <c r="J80">
        <v>170</v>
      </c>
    </row>
    <row r="81" spans="1:10" x14ac:dyDescent="0.25">
      <c r="A81">
        <v>210</v>
      </c>
      <c r="B81" t="s">
        <v>7</v>
      </c>
      <c r="C81" t="s">
        <v>16</v>
      </c>
      <c r="D81">
        <v>9251</v>
      </c>
      <c r="E81" t="s">
        <v>4</v>
      </c>
      <c r="F81">
        <v>30000000</v>
      </c>
      <c r="G81">
        <f>87</f>
        <v>87</v>
      </c>
      <c r="H81" t="s">
        <v>21</v>
      </c>
      <c r="I81" t="s">
        <v>27</v>
      </c>
      <c r="J81">
        <v>81</v>
      </c>
    </row>
    <row r="82" spans="1:10" x14ac:dyDescent="0.25">
      <c r="A82">
        <v>215</v>
      </c>
      <c r="B82" t="s">
        <v>11</v>
      </c>
      <c r="C82" t="s">
        <v>10</v>
      </c>
      <c r="D82">
        <v>2668</v>
      </c>
      <c r="E82" t="s">
        <v>4</v>
      </c>
      <c r="F82">
        <v>33027163</v>
      </c>
      <c r="G82">
        <v>101</v>
      </c>
      <c r="H82" t="s">
        <v>6</v>
      </c>
      <c r="I82" t="s">
        <v>26</v>
      </c>
      <c r="J82">
        <v>60</v>
      </c>
    </row>
    <row r="83" spans="1:10" x14ac:dyDescent="0.25">
      <c r="A83">
        <v>203</v>
      </c>
      <c r="B83" t="s">
        <v>15</v>
      </c>
      <c r="C83" t="s">
        <v>16</v>
      </c>
      <c r="D83">
        <v>4266</v>
      </c>
      <c r="E83" t="s">
        <v>4</v>
      </c>
      <c r="F83">
        <f>28702900</f>
        <v>28702900</v>
      </c>
      <c r="G83">
        <v>161</v>
      </c>
      <c r="H83" t="s">
        <v>6</v>
      </c>
      <c r="I83" t="s">
        <v>27</v>
      </c>
      <c r="J83">
        <v>451</v>
      </c>
    </row>
    <row r="84" spans="1:10" x14ac:dyDescent="0.25">
      <c r="A84">
        <v>205</v>
      </c>
      <c r="B84" t="s">
        <v>15</v>
      </c>
      <c r="C84" t="s">
        <v>8</v>
      </c>
      <c r="D84">
        <v>9236</v>
      </c>
      <c r="E84" t="s">
        <v>4</v>
      </c>
      <c r="F84">
        <f>29009744</f>
        <v>29009744</v>
      </c>
      <c r="G84">
        <f>63</f>
        <v>63</v>
      </c>
      <c r="H84" t="s">
        <v>6</v>
      </c>
      <c r="I84" t="s">
        <v>23</v>
      </c>
      <c r="J84">
        <v>824</v>
      </c>
    </row>
    <row r="85" spans="1:10" x14ac:dyDescent="0.25">
      <c r="A85">
        <v>212</v>
      </c>
      <c r="B85" t="s">
        <v>15</v>
      </c>
      <c r="C85" t="s">
        <v>16</v>
      </c>
      <c r="D85">
        <v>1900</v>
      </c>
      <c r="E85" t="s">
        <v>4</v>
      </c>
      <c r="F85">
        <v>30000000</v>
      </c>
      <c r="G85">
        <v>7</v>
      </c>
      <c r="H85" t="s">
        <v>21</v>
      </c>
      <c r="I85" t="s">
        <v>25</v>
      </c>
      <c r="J85">
        <v>310</v>
      </c>
    </row>
    <row r="86" spans="1:10" x14ac:dyDescent="0.25">
      <c r="A86">
        <v>203</v>
      </c>
      <c r="B86" t="s">
        <v>9</v>
      </c>
      <c r="C86" t="s">
        <v>10</v>
      </c>
      <c r="D86">
        <v>4970</v>
      </c>
      <c r="E86" t="s">
        <v>5</v>
      </c>
      <c r="F86">
        <v>30000000</v>
      </c>
      <c r="G86">
        <f>71</f>
        <v>71</v>
      </c>
      <c r="H86" t="s">
        <v>6</v>
      </c>
      <c r="I86" t="s">
        <v>26</v>
      </c>
      <c r="J86">
        <v>254</v>
      </c>
    </row>
    <row r="87" spans="1:10" x14ac:dyDescent="0.25">
      <c r="A87">
        <v>213</v>
      </c>
      <c r="B87" t="s">
        <v>9</v>
      </c>
      <c r="C87" t="s">
        <v>12</v>
      </c>
      <c r="D87">
        <v>8188</v>
      </c>
      <c r="E87" t="s">
        <v>4</v>
      </c>
      <c r="F87">
        <v>19816266</v>
      </c>
      <c r="G87">
        <f>67</f>
        <v>67</v>
      </c>
      <c r="H87" t="s">
        <v>6</v>
      </c>
      <c r="I87" t="s">
        <v>27</v>
      </c>
      <c r="J87">
        <v>482</v>
      </c>
    </row>
    <row r="88" spans="1:10" x14ac:dyDescent="0.25">
      <c r="A88">
        <v>207</v>
      </c>
      <c r="B88" t="s">
        <v>15</v>
      </c>
      <c r="C88" t="s">
        <v>8</v>
      </c>
      <c r="D88">
        <v>9217</v>
      </c>
      <c r="E88" t="s">
        <v>5</v>
      </c>
      <c r="F88">
        <v>15904113</v>
      </c>
      <c r="G88">
        <v>100</v>
      </c>
      <c r="H88" t="s">
        <v>21</v>
      </c>
      <c r="I88" t="s">
        <v>23</v>
      </c>
      <c r="J88">
        <v>150</v>
      </c>
    </row>
    <row r="89" spans="1:10" x14ac:dyDescent="0.25">
      <c r="A89">
        <v>215</v>
      </c>
      <c r="B89" t="s">
        <v>9</v>
      </c>
      <c r="C89" t="s">
        <v>12</v>
      </c>
      <c r="D89">
        <v>2881</v>
      </c>
      <c r="E89" t="s">
        <v>5</v>
      </c>
      <c r="F89">
        <v>30000000</v>
      </c>
      <c r="G89">
        <f>67</f>
        <v>67</v>
      </c>
      <c r="H89" t="s">
        <v>22</v>
      </c>
      <c r="I89" t="s">
        <v>26</v>
      </c>
      <c r="J89">
        <v>582</v>
      </c>
    </row>
    <row r="90" spans="1:10" x14ac:dyDescent="0.25">
      <c r="A90">
        <v>213</v>
      </c>
      <c r="B90" t="s">
        <v>15</v>
      </c>
      <c r="C90" t="s">
        <v>10</v>
      </c>
      <c r="D90">
        <v>5334</v>
      </c>
      <c r="E90" t="s">
        <v>5</v>
      </c>
      <c r="F90">
        <f>20431737</f>
        <v>20431737</v>
      </c>
      <c r="G90">
        <v>50</v>
      </c>
      <c r="H90" t="s">
        <v>22</v>
      </c>
      <c r="I90" t="s">
        <v>26</v>
      </c>
      <c r="J90">
        <v>180</v>
      </c>
    </row>
    <row r="91" spans="1:10" x14ac:dyDescent="0.25">
      <c r="A91">
        <v>214</v>
      </c>
      <c r="B91" t="s">
        <v>9</v>
      </c>
      <c r="C91" t="s">
        <v>12</v>
      </c>
      <c r="D91">
        <v>5112</v>
      </c>
      <c r="E91" t="s">
        <v>4</v>
      </c>
      <c r="F91">
        <v>14354550</v>
      </c>
      <c r="G91">
        <v>49</v>
      </c>
      <c r="H91" t="s">
        <v>21</v>
      </c>
      <c r="I91" t="s">
        <v>23</v>
      </c>
      <c r="J91">
        <v>949</v>
      </c>
    </row>
    <row r="92" spans="1:10" x14ac:dyDescent="0.25">
      <c r="A92">
        <v>203</v>
      </c>
      <c r="B92" t="s">
        <v>7</v>
      </c>
      <c r="C92" t="s">
        <v>16</v>
      </c>
      <c r="D92">
        <v>8677</v>
      </c>
      <c r="E92" t="s">
        <v>4</v>
      </c>
      <c r="F92">
        <f>28702900</f>
        <v>28702900</v>
      </c>
      <c r="G92">
        <v>100</v>
      </c>
      <c r="H92" t="s">
        <v>21</v>
      </c>
      <c r="I92" t="s">
        <v>24</v>
      </c>
      <c r="J92">
        <v>679</v>
      </c>
    </row>
    <row r="93" spans="1:10" x14ac:dyDescent="0.25">
      <c r="A93">
        <v>203</v>
      </c>
      <c r="B93" t="s">
        <v>15</v>
      </c>
      <c r="C93" t="s">
        <v>12</v>
      </c>
      <c r="D93">
        <v>4012</v>
      </c>
      <c r="E93" t="s">
        <v>5</v>
      </c>
      <c r="F93">
        <f>24636588</f>
        <v>24636588</v>
      </c>
      <c r="G93">
        <f>67</f>
        <v>67</v>
      </c>
      <c r="H93" t="s">
        <v>6</v>
      </c>
      <c r="I93" t="s">
        <v>24</v>
      </c>
      <c r="J93">
        <v>777</v>
      </c>
    </row>
    <row r="94" spans="1:10" x14ac:dyDescent="0.25">
      <c r="A94">
        <v>200</v>
      </c>
      <c r="B94" t="s">
        <v>9</v>
      </c>
      <c r="C94" t="s">
        <v>8</v>
      </c>
      <c r="D94">
        <v>7099</v>
      </c>
      <c r="E94" t="s">
        <v>4</v>
      </c>
      <c r="F94">
        <v>37209471</v>
      </c>
      <c r="G94">
        <f>63</f>
        <v>63</v>
      </c>
      <c r="H94" t="s">
        <v>21</v>
      </c>
      <c r="I94" t="s">
        <v>25</v>
      </c>
      <c r="J94">
        <v>120</v>
      </c>
    </row>
    <row r="95" spans="1:10" x14ac:dyDescent="0.25">
      <c r="A95">
        <v>206</v>
      </c>
      <c r="B95" t="s">
        <v>11</v>
      </c>
      <c r="C95" t="s">
        <v>8</v>
      </c>
      <c r="D95">
        <v>4909</v>
      </c>
      <c r="E95" t="s">
        <v>5</v>
      </c>
      <c r="F95">
        <f>29009744</f>
        <v>29009744</v>
      </c>
      <c r="G95">
        <v>2</v>
      </c>
      <c r="H95" t="s">
        <v>6</v>
      </c>
      <c r="I95" t="s">
        <v>25</v>
      </c>
      <c r="J95">
        <v>978</v>
      </c>
    </row>
    <row r="96" spans="1:10" x14ac:dyDescent="0.25">
      <c r="A96">
        <v>204</v>
      </c>
      <c r="B96" t="s">
        <v>7</v>
      </c>
      <c r="C96" t="s">
        <v>8</v>
      </c>
      <c r="D96">
        <v>5125</v>
      </c>
      <c r="E96" t="s">
        <v>5</v>
      </c>
      <c r="F96">
        <v>5506785</v>
      </c>
      <c r="G96">
        <v>50</v>
      </c>
      <c r="H96" t="s">
        <v>6</v>
      </c>
      <c r="I96" t="s">
        <v>27</v>
      </c>
      <c r="J96">
        <v>176</v>
      </c>
    </row>
    <row r="97" spans="1:10" x14ac:dyDescent="0.25">
      <c r="A97">
        <v>204</v>
      </c>
      <c r="B97" t="s">
        <v>15</v>
      </c>
      <c r="C97" t="s">
        <v>10</v>
      </c>
      <c r="D97">
        <v>4396</v>
      </c>
      <c r="E97" t="s">
        <v>4</v>
      </c>
      <c r="F97">
        <v>3773685</v>
      </c>
      <c r="G97">
        <v>9</v>
      </c>
      <c r="H97" t="s">
        <v>6</v>
      </c>
      <c r="I97" t="s">
        <v>27</v>
      </c>
      <c r="J97">
        <v>613</v>
      </c>
    </row>
    <row r="98" spans="1:10" x14ac:dyDescent="0.25">
      <c r="A98">
        <v>205</v>
      </c>
      <c r="B98" t="s">
        <v>15</v>
      </c>
      <c r="C98" t="s">
        <v>16</v>
      </c>
      <c r="D98">
        <v>8417</v>
      </c>
      <c r="E98" t="s">
        <v>4</v>
      </c>
      <c r="F98">
        <v>39664617</v>
      </c>
      <c r="G98">
        <f>87</f>
        <v>87</v>
      </c>
      <c r="H98" t="s">
        <v>6</v>
      </c>
      <c r="I98" t="s">
        <v>26</v>
      </c>
      <c r="J98">
        <v>210</v>
      </c>
    </row>
    <row r="99" spans="1:10" x14ac:dyDescent="0.25">
      <c r="A99">
        <v>208</v>
      </c>
      <c r="B99" t="s">
        <v>13</v>
      </c>
      <c r="C99" t="s">
        <v>14</v>
      </c>
      <c r="D99">
        <v>7018</v>
      </c>
      <c r="E99" t="s">
        <v>4</v>
      </c>
      <c r="F99">
        <v>44020799</v>
      </c>
      <c r="G99">
        <v>117</v>
      </c>
      <c r="H99" t="s">
        <v>6</v>
      </c>
      <c r="I99" t="s">
        <v>28</v>
      </c>
      <c r="J99">
        <v>122</v>
      </c>
    </row>
    <row r="100" spans="1:10" x14ac:dyDescent="0.25">
      <c r="A100">
        <v>213</v>
      </c>
      <c r="B100" t="s">
        <v>15</v>
      </c>
      <c r="C100" t="s">
        <v>10</v>
      </c>
      <c r="D100">
        <v>6860</v>
      </c>
      <c r="E100" t="s">
        <v>5</v>
      </c>
      <c r="F100">
        <v>22110131</v>
      </c>
      <c r="G100">
        <f>71</f>
        <v>71</v>
      </c>
      <c r="H100" t="s">
        <v>6</v>
      </c>
      <c r="I100" t="s">
        <v>25</v>
      </c>
      <c r="J100">
        <v>446</v>
      </c>
    </row>
    <row r="101" spans="1:10" x14ac:dyDescent="0.25">
      <c r="A101">
        <v>203</v>
      </c>
      <c r="B101" t="s">
        <v>7</v>
      </c>
      <c r="C101" t="s">
        <v>12</v>
      </c>
      <c r="D101">
        <v>8886</v>
      </c>
      <c r="E101" t="s">
        <v>5</v>
      </c>
      <c r="F101">
        <v>30000000</v>
      </c>
      <c r="G101">
        <v>100</v>
      </c>
      <c r="H101" t="s">
        <v>21</v>
      </c>
      <c r="I101" t="s">
        <v>23</v>
      </c>
      <c r="J101">
        <v>621</v>
      </c>
    </row>
    <row r="102" spans="1:10" x14ac:dyDescent="0.25">
      <c r="A102">
        <v>204</v>
      </c>
      <c r="B102" t="s">
        <v>15</v>
      </c>
      <c r="C102" t="s">
        <v>12</v>
      </c>
      <c r="D102">
        <v>7273</v>
      </c>
      <c r="E102" t="s">
        <v>4</v>
      </c>
      <c r="F102">
        <v>46923714</v>
      </c>
      <c r="G102">
        <f>67</f>
        <v>67</v>
      </c>
      <c r="H102" t="s">
        <v>21</v>
      </c>
      <c r="I102" t="s">
        <v>28</v>
      </c>
      <c r="J102">
        <v>286</v>
      </c>
    </row>
    <row r="103" spans="1:10" x14ac:dyDescent="0.25">
      <c r="A103">
        <v>202</v>
      </c>
      <c r="B103" t="s">
        <v>13</v>
      </c>
      <c r="C103" t="s">
        <v>16</v>
      </c>
      <c r="D103">
        <v>8865</v>
      </c>
      <c r="E103" t="s">
        <v>5</v>
      </c>
      <c r="F103">
        <v>45521478</v>
      </c>
      <c r="G103">
        <v>100</v>
      </c>
      <c r="H103" t="s">
        <v>6</v>
      </c>
      <c r="I103" t="s">
        <v>27</v>
      </c>
      <c r="J103">
        <v>292</v>
      </c>
    </row>
    <row r="104" spans="1:10" x14ac:dyDescent="0.25">
      <c r="A104">
        <v>206</v>
      </c>
      <c r="B104" t="s">
        <v>7</v>
      </c>
      <c r="C104" t="s">
        <v>10</v>
      </c>
      <c r="D104">
        <v>3976</v>
      </c>
      <c r="E104" t="s">
        <v>4</v>
      </c>
      <c r="F104">
        <v>42540499</v>
      </c>
      <c r="G104">
        <v>50</v>
      </c>
      <c r="H104" t="s">
        <v>21</v>
      </c>
      <c r="I104" t="s">
        <v>27</v>
      </c>
      <c r="J104">
        <v>216</v>
      </c>
    </row>
    <row r="105" spans="1:10" x14ac:dyDescent="0.25">
      <c r="A105">
        <v>214</v>
      </c>
      <c r="B105" t="s">
        <v>13</v>
      </c>
      <c r="C105" t="s">
        <v>16</v>
      </c>
      <c r="D105">
        <v>8789</v>
      </c>
      <c r="E105" t="s">
        <v>5</v>
      </c>
      <c r="F105">
        <v>40306138</v>
      </c>
      <c r="G105">
        <v>117</v>
      </c>
      <c r="H105" t="s">
        <v>21</v>
      </c>
      <c r="I105" t="s">
        <v>28</v>
      </c>
      <c r="J105">
        <v>313</v>
      </c>
    </row>
    <row r="106" spans="1:10" x14ac:dyDescent="0.25">
      <c r="A106">
        <v>215</v>
      </c>
      <c r="B106" t="s">
        <v>11</v>
      </c>
      <c r="C106" t="s">
        <v>8</v>
      </c>
      <c r="D106">
        <v>2658</v>
      </c>
      <c r="E106" t="s">
        <v>5</v>
      </c>
      <c r="F106">
        <v>30000000</v>
      </c>
      <c r="G106">
        <v>1</v>
      </c>
      <c r="H106" t="s">
        <v>6</v>
      </c>
      <c r="I106" t="s">
        <v>23</v>
      </c>
      <c r="J106">
        <v>410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Gloria Kenneth</cp:lastModifiedBy>
  <dcterms:created xsi:type="dcterms:W3CDTF">2025-05-22T17:46:20Z</dcterms:created>
  <dcterms:modified xsi:type="dcterms:W3CDTF">2026-01-25T09:30:02Z</dcterms:modified>
</cp:coreProperties>
</file>